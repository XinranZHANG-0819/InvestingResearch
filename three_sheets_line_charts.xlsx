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正文所用数据 (2)" sheetId="1" state="visible" r:id="rId1"/>
    <sheet name="正文所用数据" sheetId="2" state="visible" r:id="rId2"/>
    <sheet name="正文所用数据 (3)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等线"/>
      <charset val="134"/>
      <color theme="1"/>
      <sz val="11"/>
      <scheme val="minor"/>
    </font>
    <font>
      <name val="宋体"/>
      <charset val="134"/>
      <color rgb="FF000000"/>
      <sz val="10.5"/>
    </font>
    <font>
      <name val="Times New Roman"/>
      <family val="1"/>
      <color rgb="FF000000"/>
      <sz val="10.5"/>
    </font>
    <font>
      <name val="等线"/>
      <charset val="134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宋体"/>
      <charset val="134"/>
      <family val="3"/>
      <color rgb="FF000000"/>
      <sz val="10.5"/>
    </font>
  </fonts>
  <fills count="5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3" borderId="1" applyAlignment="1" pivotButton="0" quotePrefix="0" xfId="0">
      <alignment horizontal="center" wrapText="1"/>
    </xf>
    <xf numFmtId="0" fontId="2" fillId="3" borderId="3" applyAlignment="1" pivotButton="0" quotePrefix="0" xfId="0">
      <alignment horizontal="center"/>
    </xf>
    <xf numFmtId="0" fontId="2" fillId="3" borderId="4" applyAlignment="1" pivotButton="0" quotePrefix="0" xfId="0">
      <alignment horizontal="center"/>
    </xf>
    <xf numFmtId="0" fontId="2" fillId="4" borderId="3" applyAlignment="1" pivotButton="0" quotePrefix="0" xfId="0">
      <alignment horizontal="center"/>
    </xf>
    <xf numFmtId="0" fontId="2" fillId="4" borderId="4" applyAlignment="1" pivotButton="0" quotePrefix="0" xfId="0">
      <alignment horizontal="center"/>
    </xf>
    <xf numFmtId="0" fontId="1" fillId="3" borderId="2" applyAlignment="1" pivotButton="0" quotePrefix="0" xfId="0">
      <alignment horizontal="center" wrapText="1"/>
    </xf>
    <xf numFmtId="0" fontId="1" fillId="3" borderId="2" applyAlignment="1" pivotButton="0" quotePrefix="0" xfId="0">
      <alignment horizontal="center"/>
    </xf>
    <xf numFmtId="0" fontId="4" fillId="0" borderId="0" pivotButton="0" quotePrefix="0" xfId="0"/>
    <xf numFmtId="0" fontId="6" fillId="3" borderId="2" applyAlignment="1" pivotButton="0" quotePrefix="0" xfId="0">
      <alignment horizontal="center" wrapText="1"/>
    </xf>
    <xf numFmtId="0" fontId="6" fillId="3" borderId="2" applyAlignment="1" pivotButton="0" quotePrefix="0" xfId="0">
      <alignment horizontal="center"/>
    </xf>
    <xf numFmtId="0" fontId="0" fillId="0" borderId="7" pivotButton="0" quotePrefix="0" xfId="0"/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界面张力随温度变化(均值±SD, n=3)</a:t>
            </a:r>
          </a:p>
        </rich>
      </tx>
    </title>
    <plotArea>
      <scatterChart>
        <scatterStyle val="lineMarker"/>
        <ser>
          <idx val="0"/>
          <order val="0"/>
          <tx>
            <v>水1</v>
          </tx>
          <spPr>
            <a:ln w="22000">
              <a:solidFill>
                <a:srgbClr val="2A6FDB"/>
              </a:solidFill>
              <a:prstDash val="solid"/>
            </a:ln>
          </spPr>
          <marker>
            <symbol val="circle"/>
            <size val="8"/>
            <spPr>
              <a:solidFill>
                <a:srgbClr val="2A6FDB"/>
              </a:solidFill>
              <a:ln>
                <a:solidFill>
                  <a:srgbClr val="2A6FDB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'正文所用数据 (2)'!$F$3:$F$6</f>
                <numCache>
                  <formatCode>General</formatCode>
                  <ptCount val="4"/>
                  <pt idx="0">
                    <v>0</v>
                  </pt>
                  <pt idx="1">
                    <v>1.732050807568877</v>
                  </pt>
                  <pt idx="2">
                    <v>1.154700538379252</v>
                  </pt>
                  <pt idx="3">
                    <v>2.309401076758503</v>
                  </pt>
                </numCache>
              </numRef>
            </minus>
            <plus>
              <numRef>
                <f>'正文所用数据 (2)'!$F$3:$F$6</f>
                <numCache>
                  <formatCode>General</formatCode>
                  <ptCount val="4"/>
                  <pt idx="0">
                    <v>0</v>
                  </pt>
                  <pt idx="1">
                    <v>1.732050807568877</v>
                  </pt>
                  <pt idx="2">
                    <v>1.154700538379252</v>
                  </pt>
                  <pt idx="3">
                    <v>2.309401076758503</v>
                  </pt>
                </numCache>
              </numRef>
            </plus>
            <spPr>
              <a:ln w="15000">
                <a:solidFill>
                  <a:srgbClr val="2A6FDB"/>
                </a:solidFill>
                <a:prstDash val="solid"/>
              </a:ln>
            </spPr>
          </errBars>
          <xVal>
            <numRef>
              <f>'正文所用数据 (2)'!$A$3:$A$6</f>
              <numCache>
                <formatCode>General</formatCode>
                <ptCount val="4"/>
                <pt idx="0">
                  <v>35</v>
                </pt>
                <pt idx="1">
                  <v>40</v>
                </pt>
                <pt idx="2">
                  <v>45</v>
                </pt>
                <pt idx="3">
                  <v>50</v>
                </pt>
              </numCache>
            </numRef>
          </xVal>
          <yVal>
            <numRef>
              <f>'正文所用数据 (2)'!$E$3:$E$6</f>
              <numCache>
                <formatCode>General</formatCode>
                <ptCount val="4"/>
                <pt idx="0">
                  <v>12</v>
                </pt>
                <pt idx="1">
                  <v>14</v>
                </pt>
                <pt idx="2">
                  <v>15.66666666666667</v>
                </pt>
                <pt idx="3">
                  <v>17.33333333333333</v>
                </pt>
              </numCache>
            </numRef>
          </yVal>
        </ser>
        <ser>
          <idx val="1"/>
          <order val="1"/>
          <tx>
            <v>水2</v>
          </tx>
          <spPr>
            <a:ln w="22000">
              <a:solidFill>
                <a:srgbClr val="E4572E"/>
              </a:solidFill>
              <a:prstDash val="solid"/>
            </a:ln>
          </spPr>
          <marker>
            <symbol val="square"/>
            <size val="8"/>
            <spPr>
              <a:solidFill>
                <a:srgbClr val="E4572E"/>
              </a:solidFill>
              <a:ln>
                <a:solidFill>
                  <a:srgbClr val="E4572E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'正文所用数据 (2)'!$F$9:$F$12</f>
                <numCache>
                  <formatCode>General</formatCode>
                  <ptCount val="4"/>
                  <pt idx="0">
                    <v>1.732050807568877</v>
                  </pt>
                  <pt idx="1">
                    <v>2.309401076758503</v>
                  </pt>
                  <pt idx="2">
                    <v>2.309401076758503</v>
                  </pt>
                  <pt idx="3">
                    <v>2.309401076758503</v>
                  </pt>
                </numCache>
              </numRef>
            </minus>
            <plus>
              <numRef>
                <f>'正文所用数据 (2)'!$F$9:$F$12</f>
                <numCache>
                  <formatCode>General</formatCode>
                  <ptCount val="4"/>
                  <pt idx="0">
                    <v>1.732050807568877</v>
                  </pt>
                  <pt idx="1">
                    <v>2.309401076758503</v>
                  </pt>
                  <pt idx="2">
                    <v>2.309401076758503</v>
                  </pt>
                  <pt idx="3">
                    <v>2.309401076758503</v>
                  </pt>
                </numCache>
              </numRef>
            </plus>
            <spPr>
              <a:ln w="15000">
                <a:solidFill>
                  <a:srgbClr val="E4572E"/>
                </a:solidFill>
                <a:prstDash val="solid"/>
              </a:ln>
            </spPr>
          </errBars>
          <xVal>
            <numRef>
              <f>'正文所用数据 (2)'!$A$9:$A$12</f>
              <numCache>
                <formatCode>General</formatCode>
                <ptCount val="4"/>
                <pt idx="0">
                  <v>35</v>
                </pt>
                <pt idx="1">
                  <v>40</v>
                </pt>
                <pt idx="2">
                  <v>45</v>
                </pt>
                <pt idx="3">
                  <v>50</v>
                </pt>
              </numCache>
            </numRef>
          </xVal>
          <yVal>
            <numRef>
              <f>'正文所用数据 (2)'!$E$9:$E$12</f>
              <numCache>
                <formatCode>General</formatCode>
                <ptCount val="4"/>
                <pt idx="0">
                  <v>13</v>
                </pt>
                <pt idx="1">
                  <v>14.33333333333333</v>
                </pt>
                <pt idx="2">
                  <v>16.33333333333333</v>
                </pt>
                <pt idx="3">
                  <v>17.33333333333333</v>
                </pt>
              </numCache>
            </numRef>
          </yVal>
        </ser>
        <axId val="10"/>
        <axId val="20"/>
      </scatterChart>
      <valAx>
        <axId val="10"/>
        <scaling>
          <orientation val="minMax"/>
          <max val="55"/>
          <min val="3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温度 (℃)</a:t>
                </a:r>
              </a:p>
            </rich>
          </tx>
        </title>
        <majorTickMark val="none"/>
        <minorTickMark val="none"/>
        <crossAx val="20"/>
        <majorUnit val="5"/>
      </valAx>
      <valAx>
        <axId val="20"/>
        <scaling>
          <orientation val="minMax"/>
          <max val="24"/>
          <min val="8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界面张力 (mN/m)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接触角随温度变化(均值±SD, n=5)</a:t>
            </a:r>
          </a:p>
        </rich>
      </tx>
    </title>
    <plotArea>
      <scatterChart>
        <scatterStyle val="lineMarker"/>
        <ser>
          <idx val="0"/>
          <order val="0"/>
          <tx>
            <v>水1</v>
          </tx>
          <spPr>
            <a:ln w="22000">
              <a:solidFill>
                <a:srgbClr val="2A6FDB"/>
              </a:solidFill>
              <a:prstDash val="solid"/>
            </a:ln>
          </spPr>
          <marker>
            <symbol val="circle"/>
            <size val="8"/>
            <spPr>
              <a:solidFill>
                <a:srgbClr val="2A6FDB"/>
              </a:solidFill>
              <a:ln>
                <a:solidFill>
                  <a:srgbClr val="2A6FDB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'正文所用数据'!$N$3:$N$6</f>
                <numCache>
                  <formatCode>General</formatCode>
                  <ptCount val="4"/>
                  <pt idx="0">
                    <v>1.923538406167134</v>
                  </pt>
                  <pt idx="1">
                    <v>2.792848008753789</v>
                  </pt>
                  <pt idx="2">
                    <v>3.646916505762094</v>
                  </pt>
                  <pt idx="3">
                    <v>3.03315017762062</v>
                  </pt>
                </numCache>
              </numRef>
            </minus>
            <plus>
              <numRef>
                <f>'正文所用数据'!$N$3:$N$6</f>
                <numCache>
                  <formatCode>General</formatCode>
                  <ptCount val="4"/>
                  <pt idx="0">
                    <v>1.923538406167134</v>
                  </pt>
                  <pt idx="1">
                    <v>2.792848008753789</v>
                  </pt>
                  <pt idx="2">
                    <v>3.646916505762094</v>
                  </pt>
                  <pt idx="3">
                    <v>3.03315017762062</v>
                  </pt>
                </numCache>
              </numRef>
            </plus>
            <spPr>
              <a:ln w="15000">
                <a:solidFill>
                  <a:srgbClr val="2A6FDB"/>
                </a:solidFill>
                <a:prstDash val="solid"/>
              </a:ln>
            </spPr>
          </errBars>
          <xVal>
            <numRef>
              <f>'正文所用数据'!$G$3:$G$6</f>
              <numCache>
                <formatCode>General</formatCode>
                <ptCount val="4"/>
                <pt idx="0">
                  <v>35</v>
                </pt>
                <pt idx="1">
                  <v>40</v>
                </pt>
                <pt idx="2">
                  <v>45</v>
                </pt>
                <pt idx="3">
                  <v>50</v>
                </pt>
              </numCache>
            </numRef>
          </xVal>
          <yVal>
            <numRef>
              <f>'正文所用数据'!$M$3:$M$6</f>
              <numCache>
                <formatCode>General</formatCode>
                <ptCount val="4"/>
                <pt idx="0">
                  <v>54.8</v>
                </pt>
                <pt idx="1">
                  <v>44.4</v>
                </pt>
                <pt idx="2">
                  <v>33.4</v>
                </pt>
                <pt idx="3">
                  <v>23.8</v>
                </pt>
              </numCache>
            </numRef>
          </yVal>
        </ser>
        <ser>
          <idx val="1"/>
          <order val="1"/>
          <tx>
            <v>水2</v>
          </tx>
          <spPr>
            <a:ln w="22000">
              <a:solidFill>
                <a:srgbClr val="E4572E"/>
              </a:solidFill>
              <a:prstDash val="solid"/>
            </a:ln>
          </spPr>
          <marker>
            <symbol val="square"/>
            <size val="8"/>
            <spPr>
              <a:solidFill>
                <a:srgbClr val="E4572E"/>
              </a:solidFill>
              <a:ln>
                <a:solidFill>
                  <a:srgbClr val="E4572E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'正文所用数据'!$N$9:$N$12</f>
                <numCache>
                  <formatCode>General</formatCode>
                  <ptCount val="4"/>
                  <pt idx="0">
                    <v>2.190890230020665</v>
                  </pt>
                  <pt idx="1">
                    <v>3.420526275297414</v>
                  </pt>
                  <pt idx="2">
                    <v>2.683281572999748</v>
                  </pt>
                  <pt idx="3">
                    <v>2.774887385102321</v>
                  </pt>
                </numCache>
              </numRef>
            </minus>
            <plus>
              <numRef>
                <f>'正文所用数据'!$N$9:$N$12</f>
                <numCache>
                  <formatCode>General</formatCode>
                  <ptCount val="4"/>
                  <pt idx="0">
                    <v>2.190890230020665</v>
                  </pt>
                  <pt idx="1">
                    <v>3.420526275297414</v>
                  </pt>
                  <pt idx="2">
                    <v>2.683281572999748</v>
                  </pt>
                  <pt idx="3">
                    <v>2.774887385102321</v>
                  </pt>
                </numCache>
              </numRef>
            </plus>
            <spPr>
              <a:ln w="15000">
                <a:solidFill>
                  <a:srgbClr val="E4572E"/>
                </a:solidFill>
                <a:prstDash val="solid"/>
              </a:ln>
            </spPr>
          </errBars>
          <xVal>
            <numRef>
              <f>'正文所用数据'!$G$9:$G$12</f>
              <numCache>
                <formatCode>General</formatCode>
                <ptCount val="4"/>
                <pt idx="0">
                  <v>35</v>
                </pt>
                <pt idx="1">
                  <v>40</v>
                </pt>
                <pt idx="2">
                  <v>45</v>
                </pt>
                <pt idx="3">
                  <v>50</v>
                </pt>
              </numCache>
            </numRef>
          </xVal>
          <yVal>
            <numRef>
              <f>'正文所用数据'!$M$9:$M$12</f>
              <numCache>
                <formatCode>General</formatCode>
                <ptCount val="4"/>
                <pt idx="0">
                  <v>55.4</v>
                </pt>
                <pt idx="1">
                  <v>44.8</v>
                </pt>
                <pt idx="2">
                  <v>33.2</v>
                </pt>
                <pt idx="3">
                  <v>22.8</v>
                </pt>
              </numCache>
            </numRef>
          </yVal>
        </ser>
        <axId val="10"/>
        <axId val="20"/>
      </scatterChart>
      <valAx>
        <axId val="10"/>
        <scaling>
          <orientation val="minMax"/>
          <max val="55"/>
          <min val="3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温度 (℃)</a:t>
                </a:r>
              </a:p>
            </rich>
          </tx>
        </title>
        <majorTickMark val="none"/>
        <minorTickMark val="none"/>
        <crossAx val="20"/>
        <majorUnit val="5"/>
      </valAx>
      <valAx>
        <axId val="20"/>
        <scaling>
          <orientation val="minMax"/>
          <max val="7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接触角 (°)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程度随温度变化(均值±SD, n=3)</a:t>
            </a:r>
          </a:p>
        </rich>
      </tx>
    </title>
    <plotArea>
      <scatterChart>
        <scatterStyle val="lineMarker"/>
        <ser>
          <idx val="0"/>
          <order val="0"/>
          <tx>
            <v>无水</v>
          </tx>
          <spPr>
            <a:ln w="22000">
              <a:solidFill>
                <a:srgbClr val="2A6FDB"/>
              </a:solidFill>
              <a:prstDash val="solid"/>
            </a:ln>
          </spPr>
          <marker>
            <symbol val="circle"/>
            <size val="8"/>
            <spPr>
              <a:solidFill>
                <a:srgbClr val="2A6FDB"/>
              </a:solidFill>
              <a:ln>
                <a:solidFill>
                  <a:srgbClr val="2A6FDB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'正文所用数据 (3)'!$O$16:$O$21</f>
                <numCache>
                  <formatCode>General</formatCode>
                  <ptCount val="6"/>
                  <pt idx="0">
                    <v>0.2081665999466132</v>
                  </pt>
                  <pt idx="1">
                    <v>0.1527525231651946</v>
                  </pt>
                  <pt idx="2">
                    <v>0.1732050807568876</v>
                  </pt>
                  <pt idx="3">
                    <v>0.2645751311064591</v>
                  </pt>
                  <pt idx="4">
                    <v>0.4041451884327379</v>
                  </pt>
                  <pt idx="5">
                    <v>1</v>
                  </pt>
                </numCache>
              </numRef>
            </minus>
            <plus>
              <numRef>
                <f>'正文所用数据 (3)'!$O$16:$O$21</f>
                <numCache>
                  <formatCode>General</formatCode>
                  <ptCount val="6"/>
                  <pt idx="0">
                    <v>0.2081665999466132</v>
                  </pt>
                  <pt idx="1">
                    <v>0.1527525231651946</v>
                  </pt>
                  <pt idx="2">
                    <v>0.1732050807568876</v>
                  </pt>
                  <pt idx="3">
                    <v>0.2645751311064591</v>
                  </pt>
                  <pt idx="4">
                    <v>0.4041451884327379</v>
                  </pt>
                  <pt idx="5">
                    <v>1</v>
                  </pt>
                </numCache>
              </numRef>
            </plus>
            <spPr>
              <a:ln w="15000">
                <a:solidFill>
                  <a:srgbClr val="2A6FDB"/>
                </a:solidFill>
                <a:prstDash val="solid"/>
              </a:ln>
            </spPr>
          </errBars>
          <xVal>
            <numRef>
              <f>'正文所用数据 (3)'!$A$16:$A$21</f>
              <numCache>
                <formatCode>General</formatCode>
                <ptCount val="6"/>
                <pt idx="0">
                  <v>40</v>
                </pt>
                <pt idx="1">
                  <v>35</v>
                </pt>
                <pt idx="2">
                  <v>32</v>
                </pt>
                <pt idx="3">
                  <v>30</v>
                </pt>
                <pt idx="4">
                  <v>28</v>
                </pt>
                <pt idx="5">
                  <v>27</v>
                </pt>
              </numCache>
            </numRef>
          </xVal>
          <yVal>
            <numRef>
              <f>'正文所用数据 (3)'!$N$16:$N$21</f>
              <numCache>
                <formatCode>General</formatCode>
                <ptCount val="6"/>
                <pt idx="0">
                  <v>1.166666666666667</v>
                </pt>
                <pt idx="1">
                  <v>2.166666666666667</v>
                </pt>
                <pt idx="2">
                  <v>3.1</v>
                </pt>
                <pt idx="3">
                  <v>4.3</v>
                </pt>
                <pt idx="4">
                  <v>5.433333333333334</v>
                </pt>
                <pt idx="5">
                  <v>6</v>
                </pt>
              </numCache>
            </numRef>
          </yVal>
        </ser>
        <ser>
          <idx val="1"/>
          <order val="1"/>
          <tx>
            <v>水1</v>
          </tx>
          <spPr>
            <a:ln w="22000">
              <a:solidFill>
                <a:srgbClr val="E4572E"/>
              </a:solidFill>
              <a:prstDash val="solid"/>
            </a:ln>
          </spPr>
          <marker>
            <symbol val="square"/>
            <size val="8"/>
            <spPr>
              <a:solidFill>
                <a:srgbClr val="E4572E"/>
              </a:solidFill>
              <a:ln>
                <a:solidFill>
                  <a:srgbClr val="E4572E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'正文所用数据 (3)'!$Q$16:$Q$21</f>
                <numCache>
                  <formatCode>General</formatCode>
                  <ptCount val="6"/>
                  <pt idx="0">
                    <v>0.5773502691896257</v>
                  </pt>
                  <pt idx="1">
                    <v>0.5773502691896258</v>
                  </pt>
                  <pt idx="2">
                    <v>0.5773502691896258</v>
                  </pt>
                  <pt idx="3">
                    <v>0.5773502691896258</v>
                  </pt>
                  <pt idx="4">
                    <v>0.5773502691896258</v>
                  </pt>
                  <pt idx="5">
                    <v>1</v>
                  </pt>
                </numCache>
              </numRef>
            </minus>
            <plus>
              <numRef>
                <f>'正文所用数据 (3)'!$Q$16:$Q$21</f>
                <numCache>
                  <formatCode>General</formatCode>
                  <ptCount val="6"/>
                  <pt idx="0">
                    <v>0.5773502691896257</v>
                  </pt>
                  <pt idx="1">
                    <v>0.5773502691896258</v>
                  </pt>
                  <pt idx="2">
                    <v>0.5773502691896258</v>
                  </pt>
                  <pt idx="3">
                    <v>0.5773502691896258</v>
                  </pt>
                  <pt idx="4">
                    <v>0.5773502691896258</v>
                  </pt>
                  <pt idx="5">
                    <v>1</v>
                  </pt>
                </numCache>
              </numRef>
            </plus>
            <spPr>
              <a:ln w="15000">
                <a:solidFill>
                  <a:srgbClr val="E4572E"/>
                </a:solidFill>
                <a:prstDash val="solid"/>
              </a:ln>
            </spPr>
          </errBars>
          <xVal>
            <numRef>
              <f>'正文所用数据 (3)'!$A$16:$A$21</f>
              <numCache>
                <formatCode>General</formatCode>
                <ptCount val="6"/>
                <pt idx="0">
                  <v>40</v>
                </pt>
                <pt idx="1">
                  <v>35</v>
                </pt>
                <pt idx="2">
                  <v>32</v>
                </pt>
                <pt idx="3">
                  <v>30</v>
                </pt>
                <pt idx="4">
                  <v>28</v>
                </pt>
                <pt idx="5">
                  <v>27</v>
                </pt>
              </numCache>
            </numRef>
          </xVal>
          <yVal>
            <numRef>
              <f>'正文所用数据 (3)'!$P$16:$P$21</f>
              <numCache>
                <formatCode>General</formatCode>
                <ptCount val="6"/>
                <pt idx="0">
                  <v>1.333333333333333</v>
                </pt>
                <pt idx="1">
                  <v>2.333333333333333</v>
                </pt>
                <pt idx="2">
                  <v>3.333333333333333</v>
                </pt>
                <pt idx="3">
                  <v>4.333333333333333</v>
                </pt>
                <pt idx="4">
                  <v>5.333333333333333</v>
                </pt>
                <pt idx="5">
                  <v>7</v>
                </pt>
              </numCache>
            </numRef>
          </yVal>
        </ser>
        <ser>
          <idx val="2"/>
          <order val="2"/>
          <tx>
            <v>水2</v>
          </tx>
          <spPr>
            <a:ln w="22000">
              <a:solidFill>
                <a:srgbClr val="2E9E6B"/>
              </a:solidFill>
              <a:prstDash val="solid"/>
            </a:ln>
          </spPr>
          <marker>
            <symbol val="triangle"/>
            <size val="8"/>
            <spPr>
              <a:solidFill>
                <a:srgbClr val="2E9E6B"/>
              </a:solidFill>
              <a:ln>
                <a:solidFill>
                  <a:srgbClr val="2E9E6B"/>
                </a:solidFill>
                <a:prstDash val="solid"/>
              </a:ln>
            </spPr>
          </marker>
          <errBars>
            <errDir val="y"/>
            <errBarType val="both"/>
            <errValType val="cust"/>
            <noEndCap val="0"/>
            <minus>
              <numRef>
                <f>'正文所用数据 (3)'!$S$16:$S$21</f>
                <numCache>
                  <formatCode>General</formatCode>
                  <ptCount val="6"/>
                  <pt idx="0">
                    <v>1</v>
                  </pt>
                  <pt idx="1">
                    <v>1</v>
                  </pt>
                  <pt idx="2">
                    <v>1</v>
                  </pt>
                  <pt idx="3">
                    <v>1.527525231651947</v>
                  </pt>
                  <pt idx="4">
                    <v>1</v>
                  </pt>
                  <pt idx="5">
                    <v>1</v>
                  </pt>
                </numCache>
              </numRef>
            </minus>
            <plus>
              <numRef>
                <f>'正文所用数据 (3)'!$S$16:$S$21</f>
                <numCache>
                  <formatCode>General</formatCode>
                  <ptCount val="6"/>
                  <pt idx="0">
                    <v>1</v>
                  </pt>
                  <pt idx="1">
                    <v>1</v>
                  </pt>
                  <pt idx="2">
                    <v>1</v>
                  </pt>
                  <pt idx="3">
                    <v>1.527525231651947</v>
                  </pt>
                  <pt idx="4">
                    <v>1</v>
                  </pt>
                  <pt idx="5">
                    <v>1</v>
                  </pt>
                </numCache>
              </numRef>
            </plus>
            <spPr>
              <a:ln w="15000">
                <a:solidFill>
                  <a:srgbClr val="2E9E6B"/>
                </a:solidFill>
                <a:prstDash val="solid"/>
              </a:ln>
            </spPr>
          </errBars>
          <xVal>
            <numRef>
              <f>'正文所用数据 (3)'!$A$16:$A$21</f>
              <numCache>
                <formatCode>General</formatCode>
                <ptCount val="6"/>
                <pt idx="0">
                  <v>40</v>
                </pt>
                <pt idx="1">
                  <v>35</v>
                </pt>
                <pt idx="2">
                  <v>32</v>
                </pt>
                <pt idx="3">
                  <v>30</v>
                </pt>
                <pt idx="4">
                  <v>28</v>
                </pt>
                <pt idx="5">
                  <v>27</v>
                </pt>
              </numCache>
            </numRef>
          </xVal>
          <yVal>
            <numRef>
              <f>'正文所用数据 (3)'!$R$16:$R$21</f>
              <numCache>
                <formatCode>General</formatCode>
                <ptCount val="6"/>
                <pt idx="0">
                  <v>2</v>
                </pt>
                <pt idx="1">
                  <v>3</v>
                </pt>
                <pt idx="2">
                  <v>4</v>
                </pt>
                <pt idx="3">
                  <v>5.333333333333333</v>
                </pt>
                <pt idx="4">
                  <v>6</v>
                </pt>
                <pt idx="5">
                  <v>8</v>
                </pt>
              </numCache>
            </numRef>
          </yVal>
        </ser>
        <axId val="10"/>
        <axId val="20"/>
      </scatterChart>
      <valAx>
        <axId val="10"/>
        <scaling>
          <orientation val="minMax"/>
          <max val="42"/>
          <min val="25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温度 (℃)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ax val="1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程度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61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14</row>
      <rowOff>0</rowOff>
    </from>
    <ext cx="61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120000" cy="37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D31" sqref="D31"/>
    </sheetView>
  </sheetViews>
  <sheetFormatPr baseColWidth="8" defaultColWidth="8.6640625" defaultRowHeight="14"/>
  <cols>
    <col width="5.83203125" customWidth="1" min="6" max="6"/>
    <col width="6.33203125" customWidth="1" min="15" max="15"/>
  </cols>
  <sheetData>
    <row r="1" ht="14" customHeight="1">
      <c r="A1" s="9" t="inlineStr">
        <is>
          <t>水1界面张力</t>
        </is>
      </c>
    </row>
    <row r="2">
      <c r="A2" s="1" t="inlineStr">
        <is>
          <t>温度</t>
        </is>
      </c>
      <c r="B2" s="1" t="n">
        <v>1</v>
      </c>
      <c r="C2" s="1" t="n">
        <v>2</v>
      </c>
      <c r="D2" s="1" t="n">
        <v>3</v>
      </c>
      <c r="E2" s="1" t="inlineStr">
        <is>
          <t>平均</t>
        </is>
      </c>
      <c r="F2" t="inlineStr">
        <is>
          <t>SD(n=3)</t>
        </is>
      </c>
    </row>
    <row r="3">
      <c r="A3" s="1" t="n">
        <v>35</v>
      </c>
      <c r="B3" s="1" t="n">
        <v>12</v>
      </c>
      <c r="C3" s="1" t="n">
        <v>12</v>
      </c>
      <c r="D3" s="1" t="n">
        <v>12</v>
      </c>
      <c r="E3" s="1">
        <f>AVERAGE(B3:D3)</f>
        <v/>
      </c>
      <c r="F3">
        <f>STDEV.S(B3:D3)</f>
        <v/>
      </c>
      <c r="G3" s="1" t="n"/>
      <c r="H3" s="1" t="n"/>
      <c r="I3" s="1" t="n"/>
      <c r="J3" s="1" t="n"/>
      <c r="K3" s="1" t="n"/>
      <c r="L3" s="1" t="n"/>
      <c r="M3" s="1" t="n"/>
      <c r="P3" s="1" t="n"/>
    </row>
    <row r="4">
      <c r="A4" s="1" t="n">
        <v>40</v>
      </c>
      <c r="B4" s="1" t="n">
        <v>16</v>
      </c>
      <c r="C4" s="1" t="n">
        <v>13</v>
      </c>
      <c r="D4" s="1" t="n">
        <v>13</v>
      </c>
      <c r="E4" s="1">
        <f>AVERAGE(B4:D4)</f>
        <v/>
      </c>
      <c r="F4">
        <f>STDEV.S(B4:D4)</f>
        <v/>
      </c>
      <c r="G4" s="1" t="n"/>
      <c r="H4" s="1" t="n"/>
      <c r="I4" s="1" t="n"/>
      <c r="J4" s="1" t="n"/>
      <c r="K4" s="1" t="n"/>
      <c r="L4" s="1" t="n"/>
      <c r="M4" s="1" t="n"/>
      <c r="P4" s="1" t="n"/>
    </row>
    <row r="5">
      <c r="A5" s="1" t="n">
        <v>45</v>
      </c>
      <c r="B5" s="1" t="n">
        <v>15</v>
      </c>
      <c r="C5" s="1" t="n">
        <v>17</v>
      </c>
      <c r="D5" s="1" t="n">
        <v>15</v>
      </c>
      <c r="E5" s="1">
        <f>AVERAGE(B5:D5)</f>
        <v/>
      </c>
      <c r="F5">
        <f>STDEV.S(B5:D5)</f>
        <v/>
      </c>
      <c r="G5" s="1" t="n"/>
      <c r="H5" s="1" t="n"/>
      <c r="I5" s="1" t="n"/>
      <c r="J5" s="1" t="n"/>
      <c r="K5" s="1" t="n"/>
      <c r="L5" s="1" t="n"/>
      <c r="M5" s="1" t="n"/>
      <c r="P5" s="1" t="n"/>
    </row>
    <row r="6" ht="17.5" customHeight="1">
      <c r="A6" s="1" t="n">
        <v>50</v>
      </c>
      <c r="B6" s="1" t="n">
        <v>16</v>
      </c>
      <c r="C6" s="1" t="n">
        <v>16</v>
      </c>
      <c r="D6" s="1" t="n">
        <v>20</v>
      </c>
      <c r="E6" s="1">
        <f>AVERAGE(B6:D6)</f>
        <v/>
      </c>
      <c r="F6">
        <f>STDEV.S(B6:D6)</f>
        <v/>
      </c>
      <c r="G6" s="1" t="n"/>
      <c r="H6" s="1" t="n"/>
      <c r="I6" s="1" t="n"/>
      <c r="J6" s="1" t="n"/>
      <c r="K6" s="1" t="n"/>
      <c r="L6" s="1" t="n"/>
      <c r="M6" s="1" t="n"/>
      <c r="P6" s="1" t="n"/>
    </row>
    <row r="7" ht="14" customHeight="1">
      <c r="A7" s="9" t="inlineStr">
        <is>
          <t>水2界面张力</t>
        </is>
      </c>
    </row>
    <row r="8">
      <c r="A8" s="1" t="inlineStr">
        <is>
          <t>温度</t>
        </is>
      </c>
      <c r="B8" s="1" t="n">
        <v>1</v>
      </c>
      <c r="C8" s="1" t="n">
        <v>2</v>
      </c>
      <c r="D8" s="1" t="n">
        <v>3</v>
      </c>
      <c r="E8" s="1" t="inlineStr">
        <is>
          <t>平均</t>
        </is>
      </c>
      <c r="F8" t="inlineStr">
        <is>
          <t>SD(n=3)</t>
        </is>
      </c>
    </row>
    <row r="9">
      <c r="A9" s="1" t="n">
        <v>35</v>
      </c>
      <c r="B9" s="1" t="n">
        <v>15</v>
      </c>
      <c r="C9" s="1" t="n">
        <v>12</v>
      </c>
      <c r="D9" s="1" t="n">
        <v>12</v>
      </c>
      <c r="E9" s="1">
        <f>AVERAGE(B9:D9)</f>
        <v/>
      </c>
      <c r="F9">
        <f>STDEV.S(B9:D9)</f>
        <v/>
      </c>
      <c r="G9" s="1" t="n"/>
      <c r="H9" s="1" t="n"/>
      <c r="I9" s="1" t="n"/>
      <c r="J9" s="1" t="n"/>
      <c r="K9" s="1" t="n"/>
      <c r="L9" s="1" t="n"/>
      <c r="M9" s="1" t="n"/>
      <c r="P9" s="1" t="n"/>
    </row>
    <row r="10">
      <c r="A10" s="1" t="n">
        <v>40</v>
      </c>
      <c r="B10" s="1" t="n">
        <v>13</v>
      </c>
      <c r="C10" s="1" t="n">
        <v>17</v>
      </c>
      <c r="D10" s="1" t="n">
        <v>13</v>
      </c>
      <c r="E10" s="1">
        <f>AVERAGE(B10:D10)</f>
        <v/>
      </c>
      <c r="F10">
        <f>STDEV.S(B10:D10)</f>
        <v/>
      </c>
      <c r="G10" s="1" t="n"/>
      <c r="H10" s="1" t="n"/>
      <c r="I10" s="1" t="n"/>
      <c r="J10" s="1" t="n"/>
      <c r="K10" s="1" t="n"/>
      <c r="L10" s="1" t="n"/>
      <c r="M10" s="1" t="n"/>
      <c r="P10" s="1" t="n"/>
    </row>
    <row r="11">
      <c r="A11" s="1" t="n">
        <v>45</v>
      </c>
      <c r="B11" s="1" t="n">
        <v>15</v>
      </c>
      <c r="C11" s="1" t="n">
        <v>15</v>
      </c>
      <c r="D11" s="1" t="n">
        <v>19</v>
      </c>
      <c r="E11" s="1">
        <f>AVERAGE(B11:D11)</f>
        <v/>
      </c>
      <c r="F11">
        <f>STDEV.S(B11:D11)</f>
        <v/>
      </c>
      <c r="G11" s="1" t="n"/>
      <c r="H11" s="1" t="n"/>
      <c r="I11" s="1" t="n"/>
      <c r="J11" s="1" t="n"/>
      <c r="K11" s="1" t="n"/>
      <c r="L11" s="1" t="n"/>
      <c r="M11" s="1" t="n"/>
      <c r="P11" s="1" t="n"/>
    </row>
    <row r="12">
      <c r="A12" s="1" t="n">
        <v>50</v>
      </c>
      <c r="B12" s="1" t="n">
        <v>16</v>
      </c>
      <c r="C12" s="1" t="n">
        <v>16</v>
      </c>
      <c r="D12" s="1" t="n">
        <v>20</v>
      </c>
      <c r="E12" s="1">
        <f>AVERAGE(B12:D12)</f>
        <v/>
      </c>
      <c r="F12">
        <f>STDEV.S(B12:D12)</f>
        <v/>
      </c>
      <c r="G12" s="1" t="n"/>
      <c r="H12" s="1" t="n"/>
      <c r="I12" s="1" t="n"/>
      <c r="J12" s="1" t="n"/>
      <c r="K12" s="1" t="n"/>
      <c r="L12" s="1" t="n"/>
      <c r="M12" s="1" t="n"/>
      <c r="P12" s="1" t="n"/>
    </row>
    <row r="15" ht="14.5" customHeight="1" thickBot="1">
      <c r="A15" s="2" t="n"/>
      <c r="B15" s="7" t="n"/>
      <c r="C15" s="12" t="n"/>
      <c r="D15" s="13" t="n"/>
      <c r="F15" s="8" t="n"/>
      <c r="G15" s="12" t="n"/>
      <c r="H15" s="13" t="n"/>
      <c r="J15" s="8" t="n"/>
      <c r="K15" s="12" t="n"/>
      <c r="L15" s="13" t="n"/>
    </row>
    <row r="16" ht="14.5" customHeight="1" thickBot="1">
      <c r="A16" s="3" t="n"/>
      <c r="B16" s="4" t="n"/>
      <c r="C16" s="4" t="n"/>
      <c r="D16" s="4" t="n"/>
      <c r="F16" s="4" t="n"/>
      <c r="G16" s="4" t="n"/>
      <c r="H16" s="4" t="n"/>
      <c r="J16" s="4" t="n"/>
      <c r="K16" s="4" t="n"/>
      <c r="L16" s="4" t="n"/>
    </row>
    <row r="17" ht="14.5" customHeight="1" thickBot="1">
      <c r="A17" s="3" t="n"/>
      <c r="B17" s="4" t="n"/>
      <c r="C17" s="4" t="n"/>
      <c r="D17" s="4" t="n"/>
      <c r="F17" s="4" t="n"/>
      <c r="G17" s="4" t="n"/>
      <c r="H17" s="4" t="n"/>
      <c r="J17" s="4" t="n"/>
      <c r="K17" s="4" t="n"/>
      <c r="L17" s="4" t="n"/>
    </row>
    <row r="18" ht="14.5" customHeight="1" thickBot="1">
      <c r="A18" s="3" t="n"/>
      <c r="B18" s="4" t="n"/>
      <c r="C18" s="4" t="n"/>
      <c r="D18" s="4" t="n"/>
      <c r="F18" s="4" t="n"/>
      <c r="G18" s="4" t="n"/>
      <c r="H18" s="4" t="n"/>
      <c r="J18" s="4" t="n"/>
      <c r="K18" s="4" t="n"/>
      <c r="L18" s="4" t="n"/>
    </row>
    <row r="19" ht="14.5" customHeight="1" thickBot="1">
      <c r="A19" s="3" t="n"/>
      <c r="B19" s="4" t="n"/>
      <c r="C19" s="4" t="n"/>
      <c r="D19" s="4" t="n"/>
      <c r="F19" s="4" t="n"/>
      <c r="G19" s="4" t="n"/>
      <c r="H19" s="4" t="n"/>
      <c r="J19" s="4" t="n"/>
      <c r="K19" s="4" t="n"/>
      <c r="L19" s="4" t="n"/>
    </row>
    <row r="20" ht="14.5" customHeight="1" thickBot="1">
      <c r="A20" s="3" t="n"/>
      <c r="B20" s="4" t="n"/>
      <c r="C20" s="4" t="n"/>
      <c r="D20" s="4" t="n"/>
      <c r="F20" s="4" t="n"/>
      <c r="G20" s="4" t="n"/>
      <c r="H20" s="4" t="n"/>
      <c r="J20" s="4" t="n"/>
      <c r="K20" s="4" t="n"/>
      <c r="L20" s="4" t="n"/>
    </row>
    <row r="21" ht="14.5" customHeight="1" thickBot="1">
      <c r="A21" s="5" t="n"/>
      <c r="B21" s="6" t="n"/>
      <c r="C21" s="6" t="n"/>
      <c r="D21" s="6" t="n"/>
      <c r="F21" s="6" t="n"/>
      <c r="G21" s="6" t="n"/>
      <c r="H21" s="6" t="n"/>
      <c r="J21" s="6" t="n"/>
      <c r="K21" s="6" t="n"/>
      <c r="L21" s="6" t="n"/>
    </row>
  </sheetData>
  <mergeCells count="3">
    <mergeCell ref="B15:D15"/>
    <mergeCell ref="F15:H15"/>
    <mergeCell ref="J15:L15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4">
    <outlinePr summaryBelow="1" summaryRight="1"/>
    <pageSetUpPr/>
  </sheetPr>
  <dimension ref="A1:P21"/>
  <sheetViews>
    <sheetView workbookViewId="0">
      <selection activeCell="R20" sqref="R20"/>
    </sheetView>
  </sheetViews>
  <sheetFormatPr baseColWidth="8" defaultColWidth="8.6640625" defaultRowHeight="14"/>
  <cols>
    <col width="15.75" customWidth="1" min="5" max="5"/>
    <col width="5.83203125" customWidth="1" min="6" max="6"/>
    <col width="12.6640625" customWidth="1" min="9" max="9"/>
    <col width="12.6640625" customWidth="1" min="13" max="13"/>
    <col width="6.33203125" customWidth="1" min="15" max="15"/>
    <col width="12.6640625" customWidth="1" min="16" max="16"/>
  </cols>
  <sheetData>
    <row r="1" ht="14" customHeight="1">
      <c r="G1" s="9" t="inlineStr">
        <is>
          <t>水1接触角</t>
        </is>
      </c>
    </row>
    <row r="2">
      <c r="A2" s="1" t="n"/>
      <c r="B2" s="1" t="n"/>
      <c r="C2" s="1" t="n"/>
      <c r="D2" s="1" t="n"/>
      <c r="E2" s="1" t="n"/>
      <c r="G2" t="inlineStr">
        <is>
          <t>温度 (°C)</t>
        </is>
      </c>
      <c r="H2" t="inlineStr">
        <is>
          <t>测定值1</t>
        </is>
      </c>
      <c r="I2" t="inlineStr">
        <is>
          <t>测定值 2</t>
        </is>
      </c>
      <c r="J2" t="inlineStr">
        <is>
          <t>测定值 3</t>
        </is>
      </c>
      <c r="K2" t="inlineStr">
        <is>
          <t>测定值 4</t>
        </is>
      </c>
      <c r="L2" t="inlineStr">
        <is>
          <t>测定值 5</t>
        </is>
      </c>
      <c r="M2" t="inlineStr">
        <is>
          <t>平均</t>
        </is>
      </c>
      <c r="N2" t="inlineStr">
        <is>
          <t>SD(n=5)</t>
        </is>
      </c>
    </row>
    <row r="3">
      <c r="A3" s="1" t="n"/>
      <c r="B3" s="1" t="n"/>
      <c r="C3" s="1" t="n"/>
      <c r="D3" s="1" t="n"/>
      <c r="E3" s="1" t="n"/>
      <c r="G3" s="1" t="n">
        <v>35</v>
      </c>
      <c r="H3" s="1" t="n">
        <v>58</v>
      </c>
      <c r="I3" s="1" t="n">
        <v>54</v>
      </c>
      <c r="J3" s="1" t="n">
        <v>53</v>
      </c>
      <c r="K3" s="1" t="n">
        <v>54</v>
      </c>
      <c r="L3" s="1" t="n">
        <v>55</v>
      </c>
      <c r="M3" s="1">
        <f>AVERAGE(H3:L3)</f>
        <v/>
      </c>
      <c r="N3">
        <f>STDEV.S(H3:L3)</f>
        <v/>
      </c>
      <c r="P3" s="1" t="n"/>
    </row>
    <row r="4">
      <c r="A4" s="1" t="n"/>
      <c r="B4" s="1" t="n"/>
      <c r="C4" s="1" t="n"/>
      <c r="D4" s="1" t="n"/>
      <c r="E4" s="1" t="n"/>
      <c r="G4" s="1" t="n">
        <v>40</v>
      </c>
      <c r="H4" s="1" t="n">
        <v>47</v>
      </c>
      <c r="I4" s="1" t="n">
        <v>45</v>
      </c>
      <c r="J4" s="1" t="n">
        <v>41</v>
      </c>
      <c r="K4" s="1" t="n">
        <v>47</v>
      </c>
      <c r="L4" s="1" t="n">
        <v>42</v>
      </c>
      <c r="M4" s="1">
        <f>AVERAGE(H4:L4)</f>
        <v/>
      </c>
      <c r="N4">
        <f>STDEV.S(H4:L4)</f>
        <v/>
      </c>
      <c r="P4" s="1" t="n"/>
    </row>
    <row r="5">
      <c r="A5" s="1" t="n"/>
      <c r="B5" s="1" t="n"/>
      <c r="C5" s="1" t="n"/>
      <c r="D5" s="1" t="n"/>
      <c r="E5" s="1" t="n"/>
      <c r="G5" s="1" t="n">
        <v>45</v>
      </c>
      <c r="H5" s="1" t="n">
        <v>30</v>
      </c>
      <c r="I5" s="1" t="n">
        <v>31</v>
      </c>
      <c r="J5" s="1" t="n">
        <v>32</v>
      </c>
      <c r="K5" s="1" t="n">
        <v>35</v>
      </c>
      <c r="L5" s="1" t="n">
        <v>39</v>
      </c>
      <c r="M5" s="1">
        <f>AVERAGE(H5:L5)</f>
        <v/>
      </c>
      <c r="N5">
        <f>STDEV.S(H5:L5)</f>
        <v/>
      </c>
      <c r="P5" s="1" t="n"/>
    </row>
    <row r="6">
      <c r="A6" s="1" t="n"/>
      <c r="B6" s="1" t="n"/>
      <c r="C6" s="1" t="n"/>
      <c r="D6" s="1" t="n"/>
      <c r="E6" s="1" t="n"/>
      <c r="G6" s="1" t="n">
        <v>50</v>
      </c>
      <c r="H6" s="1" t="n">
        <v>20</v>
      </c>
      <c r="I6" s="1" t="n">
        <v>24</v>
      </c>
      <c r="J6" s="1" t="n">
        <v>22</v>
      </c>
      <c r="K6" s="1" t="n">
        <v>25</v>
      </c>
      <c r="L6" s="1" t="n">
        <v>28</v>
      </c>
      <c r="M6" s="1">
        <f>AVERAGE(H6:L6)</f>
        <v/>
      </c>
      <c r="N6">
        <f>STDEV.S(H6:L6)</f>
        <v/>
      </c>
      <c r="P6" s="1" t="n"/>
    </row>
    <row r="7" ht="14" customHeight="1">
      <c r="G7" s="9" t="inlineStr">
        <is>
          <t>水2接触角</t>
        </is>
      </c>
    </row>
    <row r="8">
      <c r="A8" s="1" t="n"/>
      <c r="B8" s="1" t="n"/>
      <c r="C8" s="1" t="n"/>
      <c r="D8" s="1" t="n"/>
      <c r="E8" s="1" t="n"/>
      <c r="G8" t="inlineStr">
        <is>
          <t>温度 (°C)</t>
        </is>
      </c>
      <c r="H8" t="inlineStr">
        <is>
          <t xml:space="preserve">测定值 1 </t>
        </is>
      </c>
      <c r="I8" t="inlineStr">
        <is>
          <t>测定值 2</t>
        </is>
      </c>
      <c r="J8" t="inlineStr">
        <is>
          <t>测定值 3</t>
        </is>
      </c>
      <c r="K8" t="inlineStr">
        <is>
          <t>测定值 4</t>
        </is>
      </c>
      <c r="L8" t="inlineStr">
        <is>
          <t>测定值 5</t>
        </is>
      </c>
      <c r="M8" t="inlineStr">
        <is>
          <t>平均</t>
        </is>
      </c>
      <c r="N8" t="inlineStr">
        <is>
          <t>SD(n=5)</t>
        </is>
      </c>
    </row>
    <row r="9">
      <c r="A9" s="1" t="n"/>
      <c r="B9" s="1" t="n"/>
      <c r="C9" s="1" t="n"/>
      <c r="D9" s="1" t="n"/>
      <c r="E9" s="1" t="n"/>
      <c r="G9" s="1" t="n">
        <v>35</v>
      </c>
      <c r="H9" s="1" t="n">
        <v>54</v>
      </c>
      <c r="I9" s="1" t="n">
        <v>59</v>
      </c>
      <c r="J9" s="1" t="n">
        <v>54</v>
      </c>
      <c r="K9" s="1" t="n">
        <v>56</v>
      </c>
      <c r="L9" s="1" t="n">
        <v>54</v>
      </c>
      <c r="M9" s="1">
        <f>AVERAGE(H9:L9)</f>
        <v/>
      </c>
      <c r="N9">
        <f>STDEV.S(H9:L9)</f>
        <v/>
      </c>
      <c r="P9" s="1" t="n"/>
    </row>
    <row r="10">
      <c r="A10" s="1" t="n"/>
      <c r="B10" s="1" t="n"/>
      <c r="C10" s="1" t="n"/>
      <c r="D10" s="1" t="n"/>
      <c r="E10" s="1" t="n"/>
      <c r="G10" s="1" t="n">
        <v>40</v>
      </c>
      <c r="H10" s="1" t="n">
        <v>49</v>
      </c>
      <c r="I10" s="1" t="n">
        <v>42</v>
      </c>
      <c r="J10" s="1" t="n">
        <v>43</v>
      </c>
      <c r="K10" s="1" t="n">
        <v>48</v>
      </c>
      <c r="L10" s="1" t="n">
        <v>42</v>
      </c>
      <c r="M10" s="1">
        <f>AVERAGE(H10:L10)</f>
        <v/>
      </c>
      <c r="N10">
        <f>STDEV.S(H10:L10)</f>
        <v/>
      </c>
      <c r="P10" s="1" t="n"/>
    </row>
    <row r="11">
      <c r="A11" s="1" t="n"/>
      <c r="B11" s="1" t="n"/>
      <c r="C11" s="1" t="n"/>
      <c r="D11" s="1" t="n"/>
      <c r="E11" s="1" t="n"/>
      <c r="G11" s="1" t="n">
        <v>45</v>
      </c>
      <c r="H11" s="1" t="n">
        <v>35</v>
      </c>
      <c r="I11" s="1" t="n">
        <v>32</v>
      </c>
      <c r="J11" s="1" t="n">
        <v>31</v>
      </c>
      <c r="K11" s="1" t="n">
        <v>37</v>
      </c>
      <c r="L11" s="1" t="n">
        <v>31</v>
      </c>
      <c r="M11" s="1">
        <f>AVERAGE(H11:L11)</f>
        <v/>
      </c>
      <c r="N11">
        <f>STDEV.S(H11:L11)</f>
        <v/>
      </c>
      <c r="P11" s="1" t="n"/>
    </row>
    <row r="12">
      <c r="A12" s="1" t="n"/>
      <c r="B12" s="1" t="n"/>
      <c r="C12" s="1" t="n"/>
      <c r="D12" s="1" t="n"/>
      <c r="E12" s="1" t="n"/>
      <c r="G12" s="1" t="n">
        <v>50</v>
      </c>
      <c r="H12" s="1" t="n">
        <v>27</v>
      </c>
      <c r="I12" s="1" t="n">
        <v>24</v>
      </c>
      <c r="J12" s="1" t="n">
        <v>22</v>
      </c>
      <c r="K12" s="1" t="n">
        <v>20</v>
      </c>
      <c r="L12" s="1" t="n">
        <v>21</v>
      </c>
      <c r="M12" s="1">
        <f>AVERAGE(H12:L12)</f>
        <v/>
      </c>
      <c r="N12">
        <f>STDEV.S(H12:L12)</f>
        <v/>
      </c>
      <c r="P12" s="1" t="n"/>
    </row>
    <row r="15">
      <c r="A15" s="2" t="n"/>
      <c r="B15" s="7" t="n"/>
      <c r="C15" s="12" t="n"/>
      <c r="D15" s="13" t="n"/>
      <c r="F15" s="8" t="n"/>
      <c r="G15" s="12" t="n"/>
      <c r="H15" s="13" t="n"/>
      <c r="J15" s="8" t="n"/>
      <c r="K15" s="12" t="n"/>
      <c r="L15" s="13" t="n"/>
    </row>
    <row r="16">
      <c r="A16" s="3" t="n"/>
      <c r="B16" s="4" t="n"/>
      <c r="C16" s="4" t="n"/>
      <c r="D16" s="4" t="n"/>
      <c r="F16" s="4" t="n"/>
      <c r="G16" s="4" t="n"/>
      <c r="H16" s="4" t="n"/>
      <c r="J16" s="4" t="n"/>
      <c r="K16" s="4" t="n"/>
      <c r="L16" s="4" t="n"/>
    </row>
    <row r="17">
      <c r="A17" s="3" t="n"/>
      <c r="B17" s="4" t="n"/>
      <c r="C17" s="4" t="n"/>
      <c r="D17" s="4" t="n"/>
      <c r="F17" s="4" t="n"/>
      <c r="G17" s="4" t="n"/>
      <c r="H17" s="4" t="n"/>
      <c r="J17" s="4" t="n"/>
      <c r="K17" s="4" t="n"/>
      <c r="L17" s="4" t="n"/>
    </row>
    <row r="18">
      <c r="A18" s="3" t="n"/>
      <c r="B18" s="4" t="n"/>
      <c r="C18" s="4" t="n"/>
      <c r="D18" s="4" t="n"/>
      <c r="F18" s="4" t="n"/>
      <c r="G18" s="4" t="n"/>
      <c r="H18" s="4" t="n"/>
      <c r="J18" s="4" t="n"/>
      <c r="K18" s="4" t="n"/>
      <c r="L18" s="4" t="n"/>
    </row>
    <row r="19">
      <c r="A19" s="3" t="n"/>
      <c r="B19" s="4" t="n"/>
      <c r="C19" s="4" t="n"/>
      <c r="D19" s="4" t="n"/>
      <c r="F19" s="4" t="n"/>
      <c r="G19" s="4" t="n"/>
      <c r="H19" s="4" t="n"/>
      <c r="J19" s="4" t="n"/>
      <c r="K19" s="4" t="n"/>
      <c r="L19" s="4" t="n"/>
    </row>
    <row r="20">
      <c r="A20" s="3" t="n"/>
      <c r="B20" s="4" t="n"/>
      <c r="C20" s="4" t="n"/>
      <c r="D20" s="4" t="n"/>
      <c r="F20" s="4" t="n"/>
      <c r="G20" s="4" t="n"/>
      <c r="H20" s="4" t="n"/>
      <c r="J20" s="4" t="n"/>
      <c r="K20" s="4" t="n"/>
      <c r="L20" s="4" t="n"/>
    </row>
    <row r="21">
      <c r="A21" s="5" t="n"/>
      <c r="B21" s="6" t="n"/>
      <c r="C21" s="6" t="n"/>
      <c r="D21" s="6" t="n"/>
      <c r="F21" s="6" t="n"/>
      <c r="G21" s="6" t="n"/>
      <c r="H21" s="6" t="n"/>
      <c r="J21" s="6" t="n"/>
      <c r="K21" s="6" t="n"/>
      <c r="L21" s="6" t="n"/>
    </row>
  </sheetData>
  <mergeCells count="3">
    <mergeCell ref="B15:D15"/>
    <mergeCell ref="F15:H15"/>
    <mergeCell ref="J15:L15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S21"/>
  <sheetViews>
    <sheetView workbookViewId="0">
      <selection activeCell="B29" sqref="B29:B30"/>
    </sheetView>
  </sheetViews>
  <sheetFormatPr baseColWidth="8" defaultColWidth="8.6640625" defaultRowHeight="14"/>
  <cols>
    <col width="5.83203125" customWidth="1" min="6" max="6"/>
    <col width="6.33203125" customWidth="1" min="15" max="15"/>
  </cols>
  <sheetData>
    <row r="1" ht="14" customHeight="1"/>
    <row r="2">
      <c r="A2" s="1" t="n"/>
      <c r="B2" s="1" t="n"/>
      <c r="C2" s="1" t="n"/>
      <c r="D2" s="1" t="n"/>
      <c r="E2" s="1" t="n"/>
    </row>
    <row r="3">
      <c r="A3" s="1" t="n"/>
      <c r="B3" s="1" t="n"/>
      <c r="C3" s="1" t="n"/>
      <c r="D3" s="1" t="n"/>
      <c r="E3" s="1" t="n"/>
      <c r="G3" s="1" t="n"/>
      <c r="H3" s="1" t="n"/>
      <c r="I3" s="1" t="n"/>
      <c r="J3" s="1" t="n"/>
      <c r="K3" s="1" t="n"/>
      <c r="L3" s="1" t="n"/>
      <c r="M3" s="1" t="n"/>
      <c r="P3" s="1" t="n"/>
    </row>
    <row r="4">
      <c r="A4" s="1" t="n"/>
      <c r="B4" s="1" t="n"/>
      <c r="C4" s="1" t="n"/>
      <c r="D4" s="1" t="n"/>
      <c r="E4" s="1" t="n"/>
      <c r="G4" s="1" t="n"/>
      <c r="H4" s="1" t="n"/>
      <c r="I4" s="1" t="n"/>
      <c r="J4" s="1" t="n"/>
      <c r="K4" s="1" t="n"/>
      <c r="L4" s="1" t="n"/>
      <c r="M4" s="1" t="n"/>
      <c r="P4" s="1" t="n"/>
    </row>
    <row r="5">
      <c r="A5" s="1" t="n"/>
      <c r="B5" s="1" t="n"/>
      <c r="C5" s="1" t="n"/>
      <c r="D5" s="1" t="n"/>
      <c r="E5" s="1" t="n"/>
      <c r="G5" s="1" t="n"/>
      <c r="H5" s="1" t="n"/>
      <c r="I5" s="1" t="n"/>
      <c r="J5" s="1" t="n"/>
      <c r="K5" s="1" t="n"/>
      <c r="L5" s="1" t="n"/>
      <c r="M5" s="1" t="n"/>
      <c r="P5" s="1" t="n"/>
    </row>
    <row r="6">
      <c r="A6" s="1" t="n"/>
      <c r="B6" s="1" t="n"/>
      <c r="C6" s="1" t="n"/>
      <c r="D6" s="1" t="n"/>
      <c r="E6" s="1" t="n"/>
      <c r="G6" s="1" t="n"/>
      <c r="H6" s="1" t="n"/>
      <c r="I6" s="1" t="n"/>
      <c r="J6" s="1" t="n"/>
      <c r="K6" s="1" t="n"/>
      <c r="L6" s="1" t="n"/>
      <c r="M6" s="1" t="n"/>
      <c r="P6" s="1" t="n"/>
    </row>
    <row r="8">
      <c r="A8" s="1" t="n"/>
      <c r="B8" s="1" t="n"/>
      <c r="C8" s="1" t="n"/>
      <c r="D8" s="1" t="n"/>
      <c r="E8" s="1" t="n"/>
    </row>
    <row r="9">
      <c r="A9" s="1" t="n"/>
      <c r="B9" s="1" t="n"/>
      <c r="C9" s="1" t="n"/>
      <c r="D9" s="1" t="n"/>
      <c r="E9" s="1" t="n"/>
      <c r="G9" s="1" t="n"/>
      <c r="H9" s="1" t="n"/>
      <c r="I9" s="1" t="n"/>
      <c r="J9" s="1" t="n"/>
      <c r="K9" s="1" t="n"/>
      <c r="L9" s="1" t="n"/>
      <c r="M9" s="1" t="n"/>
      <c r="P9" s="1" t="n"/>
    </row>
    <row r="10">
      <c r="A10" s="1" t="n"/>
      <c r="B10" s="1" t="n"/>
      <c r="C10" s="1" t="n"/>
      <c r="D10" s="1" t="n"/>
      <c r="E10" s="1" t="n"/>
      <c r="G10" s="1" t="n"/>
      <c r="H10" s="1" t="n"/>
      <c r="I10" s="1" t="n"/>
      <c r="J10" s="1" t="n"/>
      <c r="K10" s="1" t="n"/>
      <c r="L10" s="1" t="n"/>
      <c r="M10" s="1" t="n"/>
      <c r="P10" s="1" t="n"/>
    </row>
    <row r="11">
      <c r="A11" s="1" t="n"/>
      <c r="B11" s="1" t="n"/>
      <c r="C11" s="1" t="n"/>
      <c r="D11" s="1" t="n"/>
      <c r="E11" s="1" t="n"/>
      <c r="G11" s="1" t="n"/>
      <c r="H11" s="1" t="n"/>
      <c r="I11" s="1" t="n"/>
      <c r="J11" s="1" t="n"/>
      <c r="K11" s="1" t="n"/>
      <c r="L11" s="1" t="n"/>
      <c r="M11" s="1" t="n"/>
      <c r="P11" s="1" t="n"/>
    </row>
    <row r="12">
      <c r="A12" s="1" t="n"/>
      <c r="B12" s="1" t="n"/>
      <c r="C12" s="1" t="n"/>
      <c r="D12" s="1" t="n"/>
      <c r="E12" s="1" t="n"/>
      <c r="G12" s="1" t="n"/>
      <c r="H12" s="1" t="n"/>
      <c r="I12" s="1" t="n"/>
      <c r="J12" s="1" t="n"/>
      <c r="K12" s="1" t="n"/>
      <c r="L12" s="1" t="n"/>
      <c r="M12" s="1" t="n"/>
      <c r="P12" s="1" t="n"/>
    </row>
    <row r="14">
      <c r="A14" s="9" t="inlineStr">
        <is>
          <t>程度</t>
        </is>
      </c>
    </row>
    <row r="15" ht="28" customHeight="1" thickBot="1">
      <c r="A15" s="2" t="inlineStr">
        <is>
          <t>温度（℃）</t>
        </is>
      </c>
      <c r="B15" s="10" t="inlineStr">
        <is>
          <t>无水</t>
        </is>
      </c>
      <c r="C15" s="12" t="n"/>
      <c r="D15" s="13" t="n"/>
      <c r="F15" s="11" t="inlineStr">
        <is>
          <t>水1</t>
        </is>
      </c>
      <c r="G15" s="12" t="n"/>
      <c r="H15" s="13" t="n"/>
      <c r="J15" s="11" t="inlineStr">
        <is>
          <t>水2</t>
        </is>
      </c>
      <c r="K15" s="12" t="n"/>
      <c r="L15" s="13" t="n"/>
      <c r="N15" t="inlineStr">
        <is>
          <t>无水平均</t>
        </is>
      </c>
      <c r="O15" t="inlineStr">
        <is>
          <t>无水SD(n=3)</t>
        </is>
      </c>
      <c r="P15" t="inlineStr">
        <is>
          <t>水1平均</t>
        </is>
      </c>
      <c r="Q15" t="inlineStr">
        <is>
          <t>水1SD(n=3)</t>
        </is>
      </c>
      <c r="R15" t="inlineStr">
        <is>
          <t>水2平均</t>
        </is>
      </c>
      <c r="S15" t="inlineStr">
        <is>
          <t>水2SD(n=3)</t>
        </is>
      </c>
    </row>
    <row r="16" ht="14.5" customHeight="1" thickBot="1">
      <c r="A16" s="3" t="n">
        <v>40</v>
      </c>
      <c r="B16" s="4" t="n">
        <v>1</v>
      </c>
      <c r="C16" s="4" t="n">
        <v>1.4</v>
      </c>
      <c r="D16" s="4" t="n">
        <v>1.1</v>
      </c>
      <c r="F16" s="4" t="n">
        <v>2</v>
      </c>
      <c r="G16" s="4" t="n">
        <v>1</v>
      </c>
      <c r="H16" s="4" t="n">
        <v>1</v>
      </c>
      <c r="J16" s="4" t="n">
        <v>1</v>
      </c>
      <c r="K16" s="4" t="n">
        <v>2</v>
      </c>
      <c r="L16" s="4" t="n">
        <v>3</v>
      </c>
      <c r="N16">
        <f>AVERAGE(B16:D16)</f>
        <v/>
      </c>
      <c r="O16">
        <f>STDEV.S(B16:D16)</f>
        <v/>
      </c>
      <c r="P16">
        <f>AVERAGE(F16:H16)</f>
        <v/>
      </c>
      <c r="Q16">
        <f>STDEV.S(F16:H16)</f>
        <v/>
      </c>
      <c r="R16">
        <f>AVERAGE(J16:L16)</f>
        <v/>
      </c>
      <c r="S16">
        <f>STDEV.S(J16:L16)</f>
        <v/>
      </c>
    </row>
    <row r="17" ht="14.5" customHeight="1" thickBot="1">
      <c r="A17" s="3" t="n">
        <v>35</v>
      </c>
      <c r="B17" s="4" t="n">
        <v>2</v>
      </c>
      <c r="C17" s="4" t="n">
        <v>2.2</v>
      </c>
      <c r="D17" s="4" t="n">
        <v>2.3</v>
      </c>
      <c r="F17" s="4" t="n">
        <v>2</v>
      </c>
      <c r="G17" s="4" t="n">
        <v>3</v>
      </c>
      <c r="H17" s="4" t="n">
        <v>2</v>
      </c>
      <c r="J17" s="4" t="n">
        <v>2</v>
      </c>
      <c r="K17" s="4" t="n">
        <v>3</v>
      </c>
      <c r="L17" s="4" t="n">
        <v>4</v>
      </c>
      <c r="N17">
        <f>AVERAGE(B17:D17)</f>
        <v/>
      </c>
      <c r="O17">
        <f>STDEV.S(B17:D17)</f>
        <v/>
      </c>
      <c r="P17">
        <f>AVERAGE(F17:H17)</f>
        <v/>
      </c>
      <c r="Q17">
        <f>STDEV.S(F17:H17)</f>
        <v/>
      </c>
      <c r="R17">
        <f>AVERAGE(J17:L17)</f>
        <v/>
      </c>
      <c r="S17">
        <f>STDEV.S(J17:L17)</f>
        <v/>
      </c>
    </row>
    <row r="18" ht="14.5" customHeight="1" thickBot="1">
      <c r="A18" s="3" t="n">
        <v>32</v>
      </c>
      <c r="B18" s="4" t="n">
        <v>3</v>
      </c>
      <c r="C18" s="4" t="n">
        <v>3.3</v>
      </c>
      <c r="D18" s="4" t="n">
        <v>3</v>
      </c>
      <c r="F18" s="4" t="n">
        <v>3</v>
      </c>
      <c r="G18" s="4" t="n">
        <v>4</v>
      </c>
      <c r="H18" s="4" t="n">
        <v>3</v>
      </c>
      <c r="J18" s="4" t="n">
        <v>4</v>
      </c>
      <c r="K18" s="4" t="n">
        <v>3</v>
      </c>
      <c r="L18" s="4" t="n">
        <v>5</v>
      </c>
      <c r="N18">
        <f>AVERAGE(B18:D18)</f>
        <v/>
      </c>
      <c r="O18">
        <f>STDEV.S(B18:D18)</f>
        <v/>
      </c>
      <c r="P18">
        <f>AVERAGE(F18:H18)</f>
        <v/>
      </c>
      <c r="Q18">
        <f>STDEV.S(F18:H18)</f>
        <v/>
      </c>
      <c r="R18">
        <f>AVERAGE(J18:L18)</f>
        <v/>
      </c>
      <c r="S18">
        <f>STDEV.S(J18:L18)</f>
        <v/>
      </c>
    </row>
    <row r="19" ht="14.5" customHeight="1" thickBot="1">
      <c r="A19" s="3" t="n">
        <v>30</v>
      </c>
      <c r="B19" s="4" t="n">
        <v>4.5</v>
      </c>
      <c r="C19" s="4" t="n">
        <v>4.4</v>
      </c>
      <c r="D19" s="4" t="n">
        <v>4</v>
      </c>
      <c r="F19" s="4" t="n">
        <v>4</v>
      </c>
      <c r="G19" s="4" t="n">
        <v>4</v>
      </c>
      <c r="H19" s="4" t="n">
        <v>5</v>
      </c>
      <c r="J19" s="4" t="n">
        <v>5</v>
      </c>
      <c r="K19" s="4" t="n">
        <v>4</v>
      </c>
      <c r="L19" s="4" t="n">
        <v>7</v>
      </c>
      <c r="N19">
        <f>AVERAGE(B19:D19)</f>
        <v/>
      </c>
      <c r="O19">
        <f>STDEV.S(B19:D19)</f>
        <v/>
      </c>
      <c r="P19">
        <f>AVERAGE(F19:H19)</f>
        <v/>
      </c>
      <c r="Q19">
        <f>STDEV.S(F19:H19)</f>
        <v/>
      </c>
      <c r="R19">
        <f>AVERAGE(J19:L19)</f>
        <v/>
      </c>
      <c r="S19">
        <f>STDEV.S(J19:L19)</f>
        <v/>
      </c>
    </row>
    <row r="20" ht="14.5" customHeight="1" thickBot="1">
      <c r="A20" s="3" t="n">
        <v>28</v>
      </c>
      <c r="B20" s="4" t="n">
        <v>5</v>
      </c>
      <c r="C20" s="4" t="n">
        <v>5.5</v>
      </c>
      <c r="D20" s="4" t="n">
        <v>5.8</v>
      </c>
      <c r="F20" s="4" t="n">
        <v>5</v>
      </c>
      <c r="G20" s="4" t="n">
        <v>6</v>
      </c>
      <c r="H20" s="4" t="n">
        <v>5</v>
      </c>
      <c r="J20" s="4" t="n">
        <v>5</v>
      </c>
      <c r="K20" s="4" t="n">
        <v>6</v>
      </c>
      <c r="L20" s="4" t="n">
        <v>7</v>
      </c>
      <c r="N20">
        <f>AVERAGE(B20:D20)</f>
        <v/>
      </c>
      <c r="O20">
        <f>STDEV.S(B20:D20)</f>
        <v/>
      </c>
      <c r="P20">
        <f>AVERAGE(F20:H20)</f>
        <v/>
      </c>
      <c r="Q20">
        <f>STDEV.S(F20:H20)</f>
        <v/>
      </c>
      <c r="R20">
        <f>AVERAGE(J20:L20)</f>
        <v/>
      </c>
      <c r="S20">
        <f>STDEV.S(J20:L20)</f>
        <v/>
      </c>
    </row>
    <row r="21" ht="14.5" customHeight="1" thickBot="1">
      <c r="A21" s="5" t="n">
        <v>27</v>
      </c>
      <c r="B21" s="6" t="n">
        <v>5</v>
      </c>
      <c r="C21" s="6" t="n">
        <v>6</v>
      </c>
      <c r="D21" s="6" t="n">
        <v>7</v>
      </c>
      <c r="F21" s="6" t="n">
        <v>6</v>
      </c>
      <c r="G21" s="6" t="n">
        <v>8</v>
      </c>
      <c r="H21" s="6" t="n">
        <v>7</v>
      </c>
      <c r="J21" s="6" t="n">
        <v>9</v>
      </c>
      <c r="K21" s="6" t="n">
        <v>8</v>
      </c>
      <c r="L21" s="6" t="n">
        <v>7</v>
      </c>
      <c r="N21">
        <f>AVERAGE(B21:D21)</f>
        <v/>
      </c>
      <c r="O21">
        <f>STDEV.S(B21:D21)</f>
        <v/>
      </c>
      <c r="P21">
        <f>AVERAGE(F21:H21)</f>
        <v/>
      </c>
      <c r="Q21">
        <f>STDEV.S(F21:H21)</f>
        <v/>
      </c>
      <c r="R21">
        <f>AVERAGE(J21:L21)</f>
        <v/>
      </c>
      <c r="S21">
        <f>STDEV.S(J21:L21)</f>
        <v/>
      </c>
    </row>
  </sheetData>
  <mergeCells count="3">
    <mergeCell ref="B15:D15"/>
    <mergeCell ref="F15:H15"/>
    <mergeCell ref="J15:L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CUI YUE</dc:creator>
  <dcterms:created xsi:type="dcterms:W3CDTF">2015-06-05T18:19:00Z</dcterms:created>
  <dcterms:modified xsi:type="dcterms:W3CDTF">2026-10-04T05:51:08Z</dcterms:modified>
  <cp:lastModifiedBy>张 欣然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3DECA9C212D449BE89864ABAE1453FD6_12</vt:lpwstr>
  </property>
  <property name="KSOProductBuildVer" fmtid="{D5CDD505-2E9C-101B-9397-08002B2CF9AE}" pid="3">
    <vt:lpwstr>2052-12.8.2.18606</vt:lpwstr>
  </property>
</Properties>
</file>